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Bank_Loan_Analysis Powerbi_Project\"/>
    </mc:Choice>
  </mc:AlternateContent>
  <xr:revisionPtr revIDLastSave="0" documentId="8_{0D31C8CE-0462-4554-8650-27534171BBC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ummary KPIs" sheetId="1" r:id="rId1"/>
    <sheet name="Monthly Trends" sheetId="2" r:id="rId2"/>
    <sheet name="Regional Analysis" sheetId="3" r:id="rId3"/>
    <sheet name="Loan Purpose" sheetId="4" r:id="rId4"/>
    <sheet name="Grade &amp; Term Analysis" sheetId="5" r:id="rId5"/>
    <sheet name="Borrower Profile" sheetId="6" r:id="rId6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6" l="1"/>
  <c r="D24" i="6"/>
  <c r="D23" i="6"/>
  <c r="D22" i="6"/>
  <c r="D21" i="6"/>
  <c r="D16" i="6"/>
  <c r="D15" i="6"/>
  <c r="D14" i="6"/>
  <c r="D13" i="6"/>
  <c r="D12" i="6"/>
  <c r="D11" i="6"/>
  <c r="D10" i="6"/>
  <c r="D9" i="6"/>
  <c r="D8" i="6"/>
  <c r="D7" i="6"/>
  <c r="D6" i="6"/>
  <c r="E18" i="5"/>
  <c r="E17" i="5"/>
  <c r="F12" i="5"/>
  <c r="F11" i="5"/>
  <c r="F10" i="5"/>
  <c r="F9" i="5"/>
  <c r="F8" i="5"/>
  <c r="F7" i="5"/>
  <c r="F6" i="5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E14" i="3"/>
  <c r="E13" i="3"/>
  <c r="E12" i="3"/>
  <c r="E11" i="3"/>
  <c r="E10" i="3"/>
  <c r="E9" i="3"/>
  <c r="E8" i="3"/>
  <c r="E7" i="3"/>
  <c r="E6" i="3"/>
  <c r="E5" i="3"/>
  <c r="D17" i="2"/>
  <c r="C17" i="2"/>
  <c r="B17" i="2"/>
  <c r="E16" i="2"/>
  <c r="E15" i="2"/>
  <c r="E14" i="2"/>
  <c r="E13" i="2"/>
  <c r="E12" i="2"/>
  <c r="E11" i="2"/>
  <c r="E10" i="2"/>
  <c r="E9" i="2"/>
  <c r="E8" i="2"/>
  <c r="E7" i="2"/>
  <c r="E6" i="2"/>
</calcChain>
</file>

<file path=xl/sharedStrings.xml><?xml version="1.0" encoding="utf-8"?>
<sst xmlns="http://schemas.openxmlformats.org/spreadsheetml/2006/main" count="168" uniqueCount="139">
  <si>
    <t>BANK LOAN REPORT — SUMMARY KPIs</t>
  </si>
  <si>
    <t>CORE PORTFOLIO KPIs</t>
  </si>
  <si>
    <t>KPI</t>
  </si>
  <si>
    <t>Total (Overall)</t>
  </si>
  <si>
    <t>MTD (Dec 2021)</t>
  </si>
  <si>
    <t>MoM Change</t>
  </si>
  <si>
    <t>Total Loan Applications</t>
  </si>
  <si>
    <t>38,576</t>
  </si>
  <si>
    <t>4,314</t>
  </si>
  <si>
    <t>+6.9%</t>
  </si>
  <si>
    <t>Total Funded Amount</t>
  </si>
  <si>
    <t>$435,757,075</t>
  </si>
  <si>
    <t>$53,981,425</t>
  </si>
  <si>
    <t>+13.0%</t>
  </si>
  <si>
    <t>Total Amount Received</t>
  </si>
  <si>
    <t>$473,070,933</t>
  </si>
  <si>
    <t>$58,074,380</t>
  </si>
  <si>
    <t>+15.8%</t>
  </si>
  <si>
    <t>Average Interest Rate</t>
  </si>
  <si>
    <t>12.05%</t>
  </si>
  <si>
    <t>12.36%</t>
  </si>
  <si>
    <t>+3.5%</t>
  </si>
  <si>
    <t>Average DTI</t>
  </si>
  <si>
    <t>13.33%</t>
  </si>
  <si>
    <t>13.67%</t>
  </si>
  <si>
    <t>+2.7%</t>
  </si>
  <si>
    <t>GOOD LOAN vs BAD LOAN BREAKDOWN</t>
  </si>
  <si>
    <t>Loan Category</t>
  </si>
  <si>
    <t>Applications</t>
  </si>
  <si>
    <t>Funded Amount</t>
  </si>
  <si>
    <t>Amount Received</t>
  </si>
  <si>
    <t>✅ Good Loans (Fully Paid + Current)</t>
  </si>
  <si>
    <t>33,243 (86.2%)</t>
  </si>
  <si>
    <t>$370,224,850</t>
  </si>
  <si>
    <t>$435,786,170</t>
  </si>
  <si>
    <t>❌ Bad Loans (Charged Off)</t>
  </si>
  <si>
    <t>5,333 (13.8%)</t>
  </si>
  <si>
    <t>$65,532,225</t>
  </si>
  <si>
    <t>$37,284,763</t>
  </si>
  <si>
    <t>📊 Total</t>
  </si>
  <si>
    <t>38,576 (100%)</t>
  </si>
  <si>
    <t>LOAN STATUS GRID VIEW</t>
  </si>
  <si>
    <t>Loan Status</t>
  </si>
  <si>
    <t>Fully Paid</t>
  </si>
  <si>
    <t>32,145</t>
  </si>
  <si>
    <t>$351,358,350</t>
  </si>
  <si>
    <t>$411,586,256</t>
  </si>
  <si>
    <t>Current</t>
  </si>
  <si>
    <t>1,098</t>
  </si>
  <si>
    <t>$18,866,500</t>
  </si>
  <si>
    <t>$24,199,914</t>
  </si>
  <si>
    <t>Charged Off</t>
  </si>
  <si>
    <t>5,333</t>
  </si>
  <si>
    <t>BANK LOAN REPORT — MONTHLY TRENDS (2021)</t>
  </si>
  <si>
    <t>Month</t>
  </si>
  <si>
    <t>Loan Applications</t>
  </si>
  <si>
    <t>Funded Amount ($)</t>
  </si>
  <si>
    <t>Amount Received ($)</t>
  </si>
  <si>
    <t>MoM Growth (Apps)</t>
  </si>
  <si>
    <t>Jan 2021</t>
  </si>
  <si>
    <t>—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</si>
  <si>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</si>
  <si>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</si>
  <si>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</si>
  <si>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</si>
  <si>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</si>
  <si>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</si>
  <si>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</si>
  <si>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</si>
  <si>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</si>
  <si>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</si>
  <si>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</si>
  <si>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TOTAL / AVERAGE</t>
  </si>
  <si>
    <t>BANK LOAN REPORT — REGIONAL ANALYSIS (TOP 10 STATES)</t>
  </si>
  <si>
    <t>State</t>
  </si>
  <si>
    <t>% of Total Apps</t>
  </si>
  <si>
    <t>CA</t>
  </si>
  <si>
    <t>NY</t>
  </si>
  <si>
    <t>FL</t>
  </si>
  <si>
    <t>TX</t>
  </si>
  <si>
    <t>NJ</t>
  </si>
  <si>
    <t>IL</t>
  </si>
  <si>
    <t>PA</t>
  </si>
  <si>
    <t>VA</t>
  </si>
  <si>
    <t>GA</t>
  </si>
  <si>
    <t>MA</t>
  </si>
  <si>
    <t>BANK LOAN REPORT — LOAN PURPOSE BREAKDOWN</t>
  </si>
  <si>
    <t>Loan Purpose</t>
  </si>
  <si>
    <t>Avg Interest Rate</t>
  </si>
  <si>
    <t>Debt Consolidation</t>
  </si>
  <si>
    <t>Credit Card</t>
  </si>
  <si>
    <t>Other</t>
  </si>
  <si>
    <t>Home Improvement</t>
  </si>
  <si>
    <t>Major Purchase</t>
  </si>
  <si>
    <t>Small Business</t>
  </si>
  <si>
    <t>Car</t>
  </si>
  <si>
    <t>Wedding</t>
  </si>
  <si>
    <t>Medical</t>
  </si>
  <si>
    <t>Moving</t>
  </si>
  <si>
    <t>House</t>
  </si>
  <si>
    <t>Vacation</t>
  </si>
  <si>
    <t>Educational</t>
  </si>
  <si>
    <t>Renewable Energy</t>
  </si>
  <si>
    <t>BANK LOAN REPORT — GRADE &amp; TERM ANALYSIS</t>
  </si>
  <si>
    <t>BY LOAN GRADE</t>
  </si>
  <si>
    <t>Grade</t>
  </si>
  <si>
    <t>Avg DTI</t>
  </si>
  <si>
    <t>% of Total</t>
  </si>
  <si>
    <t>A</t>
  </si>
  <si>
    <t>B</t>
  </si>
  <si>
    <t>C</t>
  </si>
  <si>
    <t>D</t>
  </si>
  <si>
    <t>E</t>
  </si>
  <si>
    <t>F</t>
  </si>
  <si>
    <t>G</t>
  </si>
  <si>
    <t>BY LOAN TERM</t>
  </si>
  <si>
    <t>Term</t>
  </si>
  <si>
    <t>36 Months</t>
  </si>
  <si>
    <t>60 Months</t>
  </si>
  <si>
    <t>BANK LOAN REPORT — BORROWER PROFILE</t>
  </si>
  <si>
    <t>BY EMPLOYMENT LENGTH</t>
  </si>
  <si>
    <t>Employment Length</t>
  </si>
  <si>
    <t>10+ Years</t>
  </si>
  <si>
    <t>&lt; 1 Year</t>
  </si>
  <si>
    <t>2 Years</t>
  </si>
  <si>
    <t>3 Years</t>
  </si>
  <si>
    <t>4 Years</t>
  </si>
  <si>
    <t>5 Years</t>
  </si>
  <si>
    <t>1 Year</t>
  </si>
  <si>
    <t>6 Years</t>
  </si>
  <si>
    <t>7 Years</t>
  </si>
  <si>
    <t>8 Years</t>
  </si>
  <si>
    <t>9 Years</t>
  </si>
  <si>
    <t>BY HOME OWNERSHIP</t>
  </si>
  <si>
    <t>Home Ownership</t>
  </si>
  <si>
    <t>Rent</t>
  </si>
  <si>
    <t>Mortgage</t>
  </si>
  <si>
    <t>Own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</si>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</sst>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375623"/>
      <name val="Arial"/>
      <charset val="1"/>
    </font>
    <font>
      <sz val="10"/>
      <color rgb="FFC00000"/>
      <name val="Arial"/>
      <charset val="1"/>
    </font>
    <font>
      <b/>
      <sz val="10"/>
      <color rgb="FF1F4E79"/>
      <name val="Arial"/>
      <charset val="1"/>
    </font>
    <font>
      <b/>
      <sz val="1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8FF"/>
      </patternFill>
    </fill>
    <fill>
      <patternFill patternType="solid">
        <fgColor rgb="FFF2F8FF"/>
        <bgColor rgb="FFFFFFFF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6E4F0"/>
      </patternFill>
    </fill>
    <fill>
      <patternFill patternType="solid">
        <fgColor rgb="FFFFDAD6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C55A11"/>
        <bgColor rgb="FF993300"/>
      </patternFill>
    </fill>
  </fills>
  <borders count="7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1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64" fontId="0" fillId="0" borderId="0" xfId="0" applyNumberFormat="1"/>
    <xf numFmtId="10" fontId="4" fillId="5" borderId="2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0" fontId="4" fillId="4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8FF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AD6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abSelected="1" zoomScaleNormal="100" workbookViewId="0">
      <selection activeCell="J16" sqref="J16"/>
    </sheetView>
  </sheetViews>
  <sheetFormatPr defaultColWidth="8.7109375" defaultRowHeight="15" x14ac:dyDescent="0.25"/>
  <cols>
    <col min="1" max="1" width="32" customWidth="1"/>
    <col min="2" max="4" width="22" customWidth="1"/>
  </cols>
  <sheetData>
    <row r="1" spans="1:4" ht="39.75" customHeight="1" x14ac:dyDescent="0.25">
      <c r="A1" s="5" t="s">
        <v>0</v>
      </c>
      <c r="B1" s="5"/>
      <c r="C1" s="5"/>
      <c r="D1" s="5"/>
    </row>
    <row r="2" spans="1:4" ht="19.5" customHeight="1" x14ac:dyDescent="0.25">
      <c r="A2" s="25" t="s">
        <v>1</v>
      </c>
      <c r="B2" s="25"/>
      <c r="C2" s="25"/>
      <c r="D2" s="25"/>
    </row>
    <row r="3" spans="1:4" x14ac:dyDescent="0.25">
      <c r="A3" s="27"/>
      <c r="B3" s="27"/>
      <c r="C3" s="27"/>
      <c r="D3" s="27"/>
    </row>
    <row r="4" spans="1:4" ht="24.75" customHeight="1" x14ac:dyDescent="0.25">
      <c r="A4" s="26"/>
      <c r="B4" s="26"/>
      <c r="C4" s="26"/>
      <c r="D4" s="26"/>
    </row>
    <row r="5" spans="1:4" ht="30" customHeight="1" x14ac:dyDescent="0.25">
      <c r="A5" s="6" t="s">
        <v>2</v>
      </c>
      <c r="B5" s="6" t="s">
        <v>3</v>
      </c>
      <c r="C5" s="6" t="s">
        <v>4</v>
      </c>
      <c r="D5" s="6" t="s">
        <v>5</v>
      </c>
    </row>
    <row r="6" spans="1:4" ht="21.75" customHeight="1" x14ac:dyDescent="0.25">
      <c r="A6" s="7" t="s">
        <v>6</v>
      </c>
      <c r="B6" s="7" t="s">
        <v>7</v>
      </c>
      <c r="C6" s="7" t="s">
        <v>8</v>
      </c>
      <c r="D6" s="7" t="s">
        <v>9</v>
      </c>
    </row>
    <row r="7" spans="1:4" ht="21.75" customHeight="1" x14ac:dyDescent="0.25">
      <c r="A7" s="8" t="s">
        <v>10</v>
      </c>
      <c r="B7" s="8" t="s">
        <v>11</v>
      </c>
      <c r="C7" s="8" t="s">
        <v>12</v>
      </c>
      <c r="D7" s="8" t="s">
        <v>13</v>
      </c>
    </row>
    <row r="8" spans="1:4" ht="21.75" customHeight="1" x14ac:dyDescent="0.25">
      <c r="A8" s="7" t="s">
        <v>14</v>
      </c>
      <c r="B8" s="7" t="s">
        <v>15</v>
      </c>
      <c r="C8" s="7" t="s">
        <v>16</v>
      </c>
      <c r="D8" s="7" t="s">
        <v>17</v>
      </c>
    </row>
    <row r="9" spans="1:4" ht="21.75" customHeight="1" x14ac:dyDescent="0.25">
      <c r="A9" s="8" t="s">
        <v>18</v>
      </c>
      <c r="B9" s="8" t="s">
        <v>19</v>
      </c>
      <c r="C9" s="8" t="s">
        <v>20</v>
      </c>
      <c r="D9" s="8" t="s">
        <v>21</v>
      </c>
    </row>
    <row r="10" spans="1:4" ht="21.75" customHeight="1" x14ac:dyDescent="0.25">
      <c r="A10" s="7" t="s">
        <v>22</v>
      </c>
      <c r="B10" s="7" t="s">
        <v>23</v>
      </c>
      <c r="C10" s="7" t="s">
        <v>24</v>
      </c>
      <c r="D10" s="7" t="s">
        <v>25</v>
      </c>
    </row>
    <row r="12" spans="1:4" ht="24.75" customHeight="1" x14ac:dyDescent="0.25">
      <c r="A12" s="2" t="s">
        <v>26</v>
      </c>
      <c r="B12" s="2"/>
      <c r="C12" s="2"/>
      <c r="D12" s="2"/>
    </row>
    <row r="13" spans="1:4" ht="30" customHeight="1" x14ac:dyDescent="0.25">
      <c r="A13" s="9" t="s">
        <v>27</v>
      </c>
      <c r="B13" s="9" t="s">
        <v>28</v>
      </c>
      <c r="C13" s="9" t="s">
        <v>29</v>
      </c>
      <c r="D13" s="9" t="s">
        <v>30</v>
      </c>
    </row>
    <row r="14" spans="1:4" ht="21.75" customHeight="1" x14ac:dyDescent="0.25">
      <c r="A14" s="10" t="s">
        <v>31</v>
      </c>
      <c r="B14" s="10" t="s">
        <v>32</v>
      </c>
      <c r="C14" s="10" t="s">
        <v>33</v>
      </c>
      <c r="D14" s="10" t="s">
        <v>34</v>
      </c>
    </row>
    <row r="15" spans="1:4" ht="21.75" customHeight="1" x14ac:dyDescent="0.25">
      <c r="A15" s="11" t="s">
        <v>35</v>
      </c>
      <c r="B15" s="11" t="s">
        <v>36</v>
      </c>
      <c r="C15" s="11" t="s">
        <v>37</v>
      </c>
      <c r="D15" s="11" t="s">
        <v>38</v>
      </c>
    </row>
    <row r="16" spans="1:4" ht="21.75" customHeight="1" x14ac:dyDescent="0.25">
      <c r="A16" s="12" t="s">
        <v>39</v>
      </c>
      <c r="B16" s="12" t="s">
        <v>40</v>
      </c>
      <c r="C16" s="12" t="s">
        <v>11</v>
      </c>
      <c r="D16" s="12" t="s">
        <v>15</v>
      </c>
    </row>
    <row r="18" spans="1:4" ht="24.75" customHeight="1" x14ac:dyDescent="0.25">
      <c r="A18" s="1" t="s">
        <v>41</v>
      </c>
      <c r="B18" s="1"/>
      <c r="C18" s="1"/>
      <c r="D18" s="1"/>
    </row>
    <row r="19" spans="1:4" ht="30" customHeight="1" x14ac:dyDescent="0.25">
      <c r="A19" s="13" t="s">
        <v>42</v>
      </c>
      <c r="B19" s="13" t="s">
        <v>28</v>
      </c>
      <c r="C19" s="13" t="s">
        <v>29</v>
      </c>
      <c r="D19" s="13" t="s">
        <v>30</v>
      </c>
    </row>
    <row r="20" spans="1:4" ht="21.75" customHeight="1" x14ac:dyDescent="0.25">
      <c r="A20" s="8" t="s">
        <v>43</v>
      </c>
      <c r="B20" s="8" t="s">
        <v>44</v>
      </c>
      <c r="C20" s="8" t="s">
        <v>45</v>
      </c>
      <c r="D20" s="8" t="s">
        <v>46</v>
      </c>
    </row>
    <row r="21" spans="1:4" ht="21.75" customHeight="1" x14ac:dyDescent="0.25">
      <c r="A21" s="7" t="s">
        <v>47</v>
      </c>
      <c r="B21" s="7" t="s">
        <v>48</v>
      </c>
      <c r="C21" s="7" t="s">
        <v>49</v>
      </c>
      <c r="D21" s="7" t="s">
        <v>50</v>
      </c>
    </row>
    <row r="22" spans="1:4" ht="21.75" customHeight="1" x14ac:dyDescent="0.25">
      <c r="A22" s="8" t="s">
        <v>51</v>
      </c>
      <c r="B22" s="8" t="s">
        <v>52</v>
      </c>
      <c r="C22" s="8" t="s">
        <v>37</v>
      </c>
      <c r="D22" s="8" t="s">
        <v>38</v>
      </c>
    </row>
  </sheetData>
  <mergeCells count="4">
    <mergeCell ref="A1:D1"/>
    <mergeCell ref="A12:D12"/>
    <mergeCell ref="A18:D18"/>
    <mergeCell ref="A2:D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zoomScaleNormal="100" workbookViewId="0">
      <selection activeCell="H4" sqref="H4"/>
    </sheetView>
  </sheetViews>
  <sheetFormatPr defaultColWidth="8.7109375" defaultRowHeight="15" x14ac:dyDescent="0.25"/>
  <cols>
    <col min="1" max="1" width="18" customWidth="1"/>
    <col min="2" max="2" width="20" customWidth="1"/>
    <col min="3" max="4" width="22" customWidth="1"/>
    <col min="5" max="5" width="20" customWidth="1"/>
  </cols>
  <sheetData>
    <row r="1" spans="1:5" ht="39.75" customHeight="1" x14ac:dyDescent="0.25">
      <c r="A1" s="5" t="s">
        <v>53</v>
      </c>
      <c r="B1" s="5"/>
      <c r="C1" s="5"/>
      <c r="D1" s="5"/>
      <c r="E1" s="5"/>
    </row>
    <row r="2" spans="1:5" ht="15" customHeight="1" x14ac:dyDescent="0.25">
      <c r="A2" s="28"/>
      <c r="B2" s="19"/>
      <c r="C2" s="19"/>
      <c r="D2" s="19"/>
      <c r="E2" s="19"/>
    </row>
    <row r="3" spans="1:5" x14ac:dyDescent="0.25">
      <c r="A3" s="29"/>
      <c r="B3" s="20"/>
      <c r="C3" s="20"/>
      <c r="D3" s="20"/>
      <c r="E3" s="20"/>
    </row>
    <row r="4" spans="1:5" ht="30" customHeight="1" x14ac:dyDescent="0.25">
      <c r="A4" s="6" t="s">
        <v>54</v>
      </c>
      <c r="B4" s="6" t="s">
        <v>55</v>
      </c>
      <c r="C4" s="6" t="s">
        <v>56</v>
      </c>
      <c r="D4" s="6" t="s">
        <v>57</v>
      </c>
      <c r="E4" s="6" t="s">
        <v>58</v>
      </c>
    </row>
    <row r="5" spans="1:5" ht="21.75" customHeight="1" x14ac:dyDescent="0.25">
      <c r="A5" s="8" t="s">
        <v>59</v>
      </c>
      <c r="B5" s="8">
        <v>2332</v>
      </c>
      <c r="C5" s="8">
        <v>25031650</v>
      </c>
      <c r="D5" s="8">
        <v>27578836</v>
      </c>
      <c r="E5" t="s">
        <v>60</v>
      </c>
    </row>
    <row r="6" spans="1:5" ht="21.75" customHeight="1" x14ac:dyDescent="0.25">
      <c r="A6" s="7" t="s">
        <v>61</v>
      </c>
      <c r="B6" s="7">
        <v>2279</v>
      </c>
      <c r="C6" s="7">
        <v>24647825</v>
      </c>
      <c r="D6" s="7">
        <v>27717745</v>
      </c>
      <c r="E6" s="14">
        <f t="shared" ref="E6:E16" si="0">IFERROR((B6-B5)/B5,"—")</f>
        <v>-2.2727272727272728E-2</v>
      </c>
    </row>
    <row r="7" spans="1:5" ht="21.75" customHeight="1" x14ac:dyDescent="0.25">
      <c r="A7" s="8" t="s">
        <v>62</v>
      </c>
      <c r="B7" s="8">
        <v>2627</v>
      </c>
      <c r="C7" s="8">
        <v>28875700</v>
      </c>
      <c r="D7" s="8">
        <v>32264400</v>
      </c>
      <c r="E7" s="14">
        <f t="shared" si="0"/>
        <v>0.15269855199648968</v>
      </c>
    </row>
    <row r="8" spans="1:5" ht="21.75" customHeight="1" x14ac:dyDescent="0.25">
      <c r="A8" s="7" t="s">
        <v>63</v>
      </c>
      <c r="B8" s="7">
        <v>2755</v>
      </c>
      <c r="C8" s="7">
        <v>29800800</v>
      </c>
      <c r="D8" s="7">
        <v>32495533</v>
      </c>
      <c r="E8" s="14">
        <f t="shared" si="0"/>
        <v>4.8724781119147319E-2</v>
      </c>
    </row>
    <row r="9" spans="1:5" ht="21.75" customHeight="1" x14ac:dyDescent="0.25">
      <c r="A9" s="8" t="s">
        <v>64</v>
      </c>
      <c r="B9" s="8">
        <v>2911</v>
      </c>
      <c r="C9" s="8">
        <v>31738350</v>
      </c>
      <c r="D9" s="8">
        <v>33750523</v>
      </c>
      <c r="E9" s="14">
        <f t="shared" si="0"/>
        <v>5.6624319419237748E-2</v>
      </c>
    </row>
    <row r="10" spans="1:5" ht="21.75" customHeight="1" x14ac:dyDescent="0.25">
      <c r="A10" s="7" t="s">
        <v>65</v>
      </c>
      <c r="B10" s="7">
        <v>3184</v>
      </c>
      <c r="C10" s="7">
        <v>34161475</v>
      </c>
      <c r="D10" s="7">
        <v>36164533</v>
      </c>
      <c r="E10" s="14">
        <f t="shared" si="0"/>
        <v>9.3782205427688073E-2</v>
      </c>
    </row>
    <row r="11" spans="1:5" ht="21.75" customHeight="1" x14ac:dyDescent="0.25">
      <c r="A11" s="8" t="s">
        <v>66</v>
      </c>
      <c r="B11" s="8">
        <v>3366</v>
      </c>
      <c r="C11" s="8">
        <v>35813900</v>
      </c>
      <c r="D11" s="8">
        <v>38827220</v>
      </c>
      <c r="E11" s="14">
        <f t="shared" si="0"/>
        <v>5.71608040201005E-2</v>
      </c>
    </row>
    <row r="12" spans="1:5" ht="21.75" customHeight="1" x14ac:dyDescent="0.25">
      <c r="A12" s="7" t="s">
        <v>67</v>
      </c>
      <c r="B12" s="7">
        <v>3441</v>
      </c>
      <c r="C12" s="7">
        <v>38149600</v>
      </c>
      <c r="D12" s="7">
        <v>42682218</v>
      </c>
      <c r="E12" s="14">
        <f t="shared" si="0"/>
        <v>2.2281639928698752E-2</v>
      </c>
    </row>
    <row r="13" spans="1:5" ht="21.75" customHeight="1" x14ac:dyDescent="0.25">
      <c r="A13" s="8" t="s">
        <v>68</v>
      </c>
      <c r="B13" s="8">
        <v>3536</v>
      </c>
      <c r="C13" s="8">
        <v>40907725</v>
      </c>
      <c r="D13" s="8">
        <v>43983948</v>
      </c>
      <c r="E13" s="14">
        <f t="shared" si="0"/>
        <v>2.7608253414705027E-2</v>
      </c>
    </row>
    <row r="14" spans="1:5" ht="21.75" customHeight="1" x14ac:dyDescent="0.25">
      <c r="A14" s="7" t="s">
        <v>69</v>
      </c>
      <c r="B14" s="7">
        <v>3796</v>
      </c>
      <c r="C14" s="7">
        <v>44893800</v>
      </c>
      <c r="D14" s="7">
        <v>49399567</v>
      </c>
      <c r="E14" s="14">
        <f t="shared" si="0"/>
        <v>7.3529411764705885E-2</v>
      </c>
    </row>
    <row r="15" spans="1:5" ht="21.75" customHeight="1" x14ac:dyDescent="0.25">
      <c r="A15" s="8" t="s">
        <v>70</v>
      </c>
      <c r="B15" s="8">
        <v>4035</v>
      </c>
      <c r="C15" s="8">
        <v>47754825</v>
      </c>
      <c r="D15" s="8">
        <v>50132030</v>
      </c>
      <c r="E15" s="14">
        <f t="shared" si="0"/>
        <v>6.2961011591148572E-2</v>
      </c>
    </row>
    <row r="16" spans="1:5" ht="21.75" customHeight="1" x14ac:dyDescent="0.25">
      <c r="A16" s="7" t="s">
        <v>71</v>
      </c>
      <c r="B16" s="7">
        <v>4314</v>
      </c>
      <c r="C16" s="7">
        <v>53981425</v>
      </c>
      <c r="D16" s="7">
        <v>58074380</v>
      </c>
      <c r="E16" s="14">
        <f t="shared" si="0"/>
        <v>6.9144981412639403E-2</v>
      </c>
    </row>
    <row r="17" spans="1:5" ht="24.75" customHeight="1" x14ac:dyDescent="0.25">
      <c r="A17" s="6" t="s">
        <v>72</v>
      </c>
      <c r="B17" s="6">
        <f>SUM(B5:B16)</f>
        <v>38576</v>
      </c>
      <c r="C17" s="6">
        <f>SUM(C5:C16)</f>
        <v>435757075</v>
      </c>
      <c r="D17" s="6">
        <f>SUM(D5:D16)</f>
        <v>473070933</v>
      </c>
      <c r="E17" s="6" t="s">
        <v>60</v>
      </c>
    </row>
  </sheetData>
  <mergeCells count="2">
    <mergeCell ref="A1:E1"/>
    <mergeCell ref="A2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zoomScaleNormal="100" workbookViewId="0">
      <selection activeCell="B3" sqref="B3"/>
    </sheetView>
  </sheetViews>
  <sheetFormatPr defaultColWidth="8.7109375" defaultRowHeight="15" x14ac:dyDescent="0.25"/>
  <cols>
    <col min="1" max="1" width="12" customWidth="1"/>
    <col min="2" max="4" width="22" customWidth="1"/>
    <col min="5" max="5" width="18" customWidth="1"/>
  </cols>
  <sheetData>
    <row r="1" spans="1:5" ht="39.75" customHeight="1" x14ac:dyDescent="0.25">
      <c r="A1" s="5" t="s">
        <v>73</v>
      </c>
      <c r="B1" s="5"/>
      <c r="C1" s="5"/>
      <c r="D1" s="5"/>
      <c r="E1" s="5"/>
    </row>
    <row r="2" spans="1:5" ht="0.75" customHeight="1" x14ac:dyDescent="0.25">
      <c r="A2" s="4"/>
      <c r="B2" s="4"/>
      <c r="C2" s="4"/>
      <c r="D2" s="4"/>
      <c r="E2" s="4"/>
    </row>
    <row r="3" spans="1:5" hidden="1" x14ac:dyDescent="0.25"/>
    <row r="4" spans="1:5" ht="30" customHeight="1" x14ac:dyDescent="0.25">
      <c r="A4" s="6" t="s">
        <v>74</v>
      </c>
      <c r="B4" s="6" t="s">
        <v>28</v>
      </c>
      <c r="C4" s="6" t="s">
        <v>56</v>
      </c>
      <c r="D4" s="6" t="s">
        <v>57</v>
      </c>
      <c r="E4" s="6" t="s">
        <v>75</v>
      </c>
    </row>
    <row r="5" spans="1:5" ht="21.75" customHeight="1" x14ac:dyDescent="0.25">
      <c r="A5" s="8" t="s">
        <v>76</v>
      </c>
      <c r="B5" s="8">
        <v>6894</v>
      </c>
      <c r="C5" s="8">
        <v>78484125</v>
      </c>
      <c r="D5" s="8">
        <v>83901234</v>
      </c>
      <c r="E5" s="14">
        <f t="shared" ref="E5:E14" si="0">B5/38576</f>
        <v>0.17871215263376192</v>
      </c>
    </row>
    <row r="6" spans="1:5" ht="21.75" customHeight="1" x14ac:dyDescent="0.25">
      <c r="A6" s="7" t="s">
        <v>77</v>
      </c>
      <c r="B6" s="7">
        <v>3701</v>
      </c>
      <c r="C6" s="7">
        <v>42077050</v>
      </c>
      <c r="D6" s="7">
        <v>46108181</v>
      </c>
      <c r="E6" s="14">
        <f t="shared" si="0"/>
        <v>9.5940481128162586E-2</v>
      </c>
    </row>
    <row r="7" spans="1:5" ht="21.75" customHeight="1" x14ac:dyDescent="0.25">
      <c r="A7" s="8" t="s">
        <v>78</v>
      </c>
      <c r="B7" s="8">
        <v>2773</v>
      </c>
      <c r="C7" s="8">
        <v>30046125</v>
      </c>
      <c r="D7" s="8">
        <v>31601905</v>
      </c>
      <c r="E7" s="14">
        <f t="shared" si="0"/>
        <v>7.1884072998755696E-2</v>
      </c>
    </row>
    <row r="8" spans="1:5" ht="21.75" customHeight="1" x14ac:dyDescent="0.25">
      <c r="A8" s="7" t="s">
        <v>79</v>
      </c>
      <c r="B8" s="7">
        <v>2664</v>
      </c>
      <c r="C8" s="7">
        <v>31236650</v>
      </c>
      <c r="D8" s="7">
        <v>34392715</v>
      </c>
      <c r="E8" s="14">
        <f t="shared" si="0"/>
        <v>6.9058481957693901E-2</v>
      </c>
    </row>
    <row r="9" spans="1:5" ht="21.75" customHeight="1" x14ac:dyDescent="0.25">
      <c r="A9" s="8" t="s">
        <v>80</v>
      </c>
      <c r="B9" s="8">
        <v>1822</v>
      </c>
      <c r="C9" s="8">
        <v>21657475</v>
      </c>
      <c r="D9" s="8">
        <v>23425159</v>
      </c>
      <c r="E9" s="14">
        <f t="shared" si="0"/>
        <v>4.7231439236831194E-2</v>
      </c>
    </row>
    <row r="10" spans="1:5" ht="21.75" customHeight="1" x14ac:dyDescent="0.25">
      <c r="A10" s="7" t="s">
        <v>81</v>
      </c>
      <c r="B10" s="7">
        <v>1486</v>
      </c>
      <c r="C10" s="7">
        <v>17124225</v>
      </c>
      <c r="D10" s="7">
        <v>18875941</v>
      </c>
      <c r="E10" s="14">
        <f t="shared" si="0"/>
        <v>3.8521360431356282E-2</v>
      </c>
    </row>
    <row r="11" spans="1:5" ht="21.75" customHeight="1" x14ac:dyDescent="0.25">
      <c r="A11" s="8" t="s">
        <v>82</v>
      </c>
      <c r="B11" s="8">
        <v>1482</v>
      </c>
      <c r="C11" s="8">
        <v>15826525</v>
      </c>
      <c r="D11" s="8">
        <v>17462908</v>
      </c>
      <c r="E11" s="14">
        <f t="shared" si="0"/>
        <v>3.8417669017005392E-2</v>
      </c>
    </row>
    <row r="12" spans="1:5" ht="21.75" customHeight="1" x14ac:dyDescent="0.25">
      <c r="A12" s="7" t="s">
        <v>83</v>
      </c>
      <c r="B12" s="7">
        <v>1375</v>
      </c>
      <c r="C12" s="7">
        <v>15982650</v>
      </c>
      <c r="D12" s="7">
        <v>17711443</v>
      </c>
      <c r="E12" s="14">
        <f t="shared" si="0"/>
        <v>3.5643923683119035E-2</v>
      </c>
    </row>
    <row r="13" spans="1:5" ht="21.75" customHeight="1" x14ac:dyDescent="0.25">
      <c r="A13" s="8" t="s">
        <v>84</v>
      </c>
      <c r="B13" s="8">
        <v>1355</v>
      </c>
      <c r="C13" s="8">
        <v>15480325</v>
      </c>
      <c r="D13" s="8">
        <v>16728040</v>
      </c>
      <c r="E13" s="14">
        <f t="shared" si="0"/>
        <v>3.5125466611364578E-2</v>
      </c>
    </row>
    <row r="14" spans="1:5" ht="21.75" customHeight="1" x14ac:dyDescent="0.25">
      <c r="A14" s="7" t="s">
        <v>85</v>
      </c>
      <c r="B14" s="7">
        <v>1310</v>
      </c>
      <c r="C14" s="7">
        <v>15051000</v>
      </c>
      <c r="D14" s="7">
        <v>16676279</v>
      </c>
      <c r="E14" s="14">
        <f t="shared" si="0"/>
        <v>3.3958938199917049E-2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zoomScaleNormal="100" workbookViewId="0">
      <selection activeCell="I4" sqref="I4"/>
    </sheetView>
  </sheetViews>
  <sheetFormatPr defaultColWidth="8.7109375" defaultRowHeight="15" x14ac:dyDescent="0.25"/>
  <cols>
    <col min="1" max="1" width="22" customWidth="1"/>
    <col min="2" max="2" width="18" customWidth="1"/>
    <col min="3" max="4" width="22" customWidth="1"/>
    <col min="5" max="6" width="20" customWidth="1"/>
  </cols>
  <sheetData>
    <row r="1" spans="1:6" ht="20.25" customHeight="1" x14ac:dyDescent="0.25">
      <c r="A1" s="21" t="s">
        <v>86</v>
      </c>
      <c r="B1" s="22"/>
      <c r="C1" s="22"/>
      <c r="D1" s="22"/>
      <c r="E1" s="22"/>
      <c r="F1" s="22"/>
    </row>
    <row r="2" spans="1:6" ht="20.25" customHeight="1" x14ac:dyDescent="0.25">
      <c r="A2" s="23"/>
      <c r="B2" s="23"/>
      <c r="C2" s="23"/>
      <c r="D2" s="23"/>
      <c r="E2" s="23"/>
      <c r="F2" s="23"/>
    </row>
    <row r="3" spans="1:6" ht="20.25" customHeight="1" x14ac:dyDescent="0.25">
      <c r="A3" s="24"/>
      <c r="B3" s="24"/>
      <c r="C3" s="24"/>
      <c r="D3" s="24"/>
      <c r="E3" s="24"/>
      <c r="F3" s="24"/>
    </row>
    <row r="4" spans="1:6" ht="30" customHeight="1" x14ac:dyDescent="0.25">
      <c r="A4" s="6" t="s">
        <v>87</v>
      </c>
      <c r="B4" s="6" t="s">
        <v>28</v>
      </c>
      <c r="C4" s="6" t="s">
        <v>56</v>
      </c>
      <c r="D4" s="6" t="s">
        <v>57</v>
      </c>
      <c r="E4" s="6" t="s">
        <v>88</v>
      </c>
      <c r="F4" s="6" t="s">
        <v>75</v>
      </c>
    </row>
    <row r="5" spans="1:6" ht="21.75" customHeight="1" x14ac:dyDescent="0.25">
      <c r="A5" s="8" t="s">
        <v>89</v>
      </c>
      <c r="B5" s="8">
        <v>18214</v>
      </c>
      <c r="C5" s="8">
        <v>232459675</v>
      </c>
      <c r="D5" s="8">
        <v>253801871</v>
      </c>
      <c r="E5" s="15">
        <v>0.125</v>
      </c>
      <c r="F5" s="16">
        <f t="shared" ref="F5:F18" si="0">B5/38576</f>
        <v>0.47215885524678558</v>
      </c>
    </row>
    <row r="6" spans="1:6" ht="21.75" customHeight="1" x14ac:dyDescent="0.25">
      <c r="A6" s="7" t="s">
        <v>90</v>
      </c>
      <c r="B6" s="7">
        <v>4998</v>
      </c>
      <c r="C6" s="7">
        <v>58885175</v>
      </c>
      <c r="D6" s="7">
        <v>65214084</v>
      </c>
      <c r="E6" s="17">
        <v>0.1173</v>
      </c>
      <c r="F6" s="18">
        <f t="shared" si="0"/>
        <v>0.12956242223143924</v>
      </c>
    </row>
    <row r="7" spans="1:6" ht="21.75" customHeight="1" x14ac:dyDescent="0.25">
      <c r="A7" s="8" t="s">
        <v>91</v>
      </c>
      <c r="B7" s="8">
        <v>3824</v>
      </c>
      <c r="C7" s="8">
        <v>31155750</v>
      </c>
      <c r="D7" s="8">
        <v>33289676</v>
      </c>
      <c r="E7" s="15">
        <v>0.1186</v>
      </c>
      <c r="F7" s="16">
        <f t="shared" si="0"/>
        <v>9.9128992119452503E-2</v>
      </c>
    </row>
    <row r="8" spans="1:6" ht="21.75" customHeight="1" x14ac:dyDescent="0.25">
      <c r="A8" s="7" t="s">
        <v>92</v>
      </c>
      <c r="B8" s="7">
        <v>2876</v>
      </c>
      <c r="C8" s="7">
        <v>33350775</v>
      </c>
      <c r="D8" s="7">
        <v>36380930</v>
      </c>
      <c r="E8" s="17">
        <v>0.114</v>
      </c>
      <c r="F8" s="18">
        <f t="shared" si="0"/>
        <v>7.4554126918291164E-2</v>
      </c>
    </row>
    <row r="9" spans="1:6" ht="21.75" customHeight="1" x14ac:dyDescent="0.25">
      <c r="A9" s="8" t="s">
        <v>93</v>
      </c>
      <c r="B9" s="8">
        <v>2110</v>
      </c>
      <c r="C9" s="8">
        <v>17251600</v>
      </c>
      <c r="D9" s="8">
        <v>18676927</v>
      </c>
      <c r="E9" s="15">
        <v>0.1087</v>
      </c>
      <c r="F9" s="16">
        <f t="shared" si="0"/>
        <v>5.4697221070095399E-2</v>
      </c>
    </row>
    <row r="10" spans="1:6" ht="21.75" customHeight="1" x14ac:dyDescent="0.25">
      <c r="A10" s="7" t="s">
        <v>94</v>
      </c>
      <c r="B10" s="7">
        <v>1776</v>
      </c>
      <c r="C10" s="7">
        <v>24123100</v>
      </c>
      <c r="D10" s="7">
        <v>23814817</v>
      </c>
      <c r="E10" s="17">
        <v>0.1303</v>
      </c>
      <c r="F10" s="18">
        <f t="shared" si="0"/>
        <v>4.6038987971795932E-2</v>
      </c>
    </row>
    <row r="11" spans="1:6" ht="21.75" customHeight="1" x14ac:dyDescent="0.25">
      <c r="A11" s="8" t="s">
        <v>95</v>
      </c>
      <c r="B11" s="8">
        <v>1497</v>
      </c>
      <c r="C11" s="8">
        <v>10223575</v>
      </c>
      <c r="D11" s="8">
        <v>11324914</v>
      </c>
      <c r="E11" s="15">
        <v>0.10589999999999999</v>
      </c>
      <c r="F11" s="16">
        <f t="shared" si="0"/>
        <v>3.8806511820821239E-2</v>
      </c>
    </row>
    <row r="12" spans="1:6" ht="21.75" customHeight="1" x14ac:dyDescent="0.25">
      <c r="A12" s="7" t="s">
        <v>96</v>
      </c>
      <c r="B12" s="7">
        <v>928</v>
      </c>
      <c r="C12" s="7">
        <v>9225800</v>
      </c>
      <c r="D12" s="7">
        <v>10266856</v>
      </c>
      <c r="E12" s="17">
        <v>0.11890000000000001</v>
      </c>
      <c r="F12" s="18">
        <f t="shared" si="0"/>
        <v>2.4056408129406886E-2</v>
      </c>
    </row>
    <row r="13" spans="1:6" ht="21.75" customHeight="1" x14ac:dyDescent="0.25">
      <c r="A13" s="8" t="s">
        <v>97</v>
      </c>
      <c r="B13" s="8">
        <v>667</v>
      </c>
      <c r="C13" s="8">
        <v>5533225</v>
      </c>
      <c r="D13" s="8">
        <v>5851372</v>
      </c>
      <c r="E13" s="15">
        <v>0.1157</v>
      </c>
      <c r="F13" s="16">
        <f t="shared" si="0"/>
        <v>1.7290543343011198E-2</v>
      </c>
    </row>
    <row r="14" spans="1:6" ht="21.75" customHeight="1" x14ac:dyDescent="0.25">
      <c r="A14" s="7" t="s">
        <v>98</v>
      </c>
      <c r="B14" s="7">
        <v>559</v>
      </c>
      <c r="C14" s="7">
        <v>3748125</v>
      </c>
      <c r="D14" s="7">
        <v>3999899</v>
      </c>
      <c r="E14" s="17">
        <v>0.1159</v>
      </c>
      <c r="F14" s="18">
        <f t="shared" si="0"/>
        <v>1.4490875155537122E-2</v>
      </c>
    </row>
    <row r="15" spans="1:6" ht="21.75" customHeight="1" x14ac:dyDescent="0.25">
      <c r="A15" s="8" t="s">
        <v>99</v>
      </c>
      <c r="B15" s="8">
        <v>366</v>
      </c>
      <c r="C15" s="8">
        <v>4824925</v>
      </c>
      <c r="D15" s="8">
        <v>5185538</v>
      </c>
      <c r="E15" s="15">
        <v>0.12379999999999999</v>
      </c>
      <c r="F15" s="16">
        <f t="shared" si="0"/>
        <v>9.487764413106595E-3</v>
      </c>
    </row>
    <row r="16" spans="1:6" ht="21.75" customHeight="1" x14ac:dyDescent="0.25">
      <c r="A16" s="7" t="s">
        <v>100</v>
      </c>
      <c r="B16" s="7">
        <v>352</v>
      </c>
      <c r="C16" s="7">
        <v>1967950</v>
      </c>
      <c r="D16" s="7">
        <v>2116738</v>
      </c>
      <c r="E16" s="17">
        <v>0.10879999999999999</v>
      </c>
      <c r="F16" s="18">
        <f t="shared" si="0"/>
        <v>9.1248444628784734E-3</v>
      </c>
    </row>
    <row r="17" spans="1:6" ht="21.75" customHeight="1" x14ac:dyDescent="0.25">
      <c r="A17" s="8" t="s">
        <v>101</v>
      </c>
      <c r="B17" s="8">
        <v>315</v>
      </c>
      <c r="C17" s="8">
        <v>2161650</v>
      </c>
      <c r="D17" s="8">
        <v>2248380</v>
      </c>
      <c r="E17" s="15">
        <v>0.11650000000000001</v>
      </c>
      <c r="F17" s="16">
        <f t="shared" si="0"/>
        <v>8.1656988801327244E-3</v>
      </c>
    </row>
    <row r="18" spans="1:6" ht="21.75" customHeight="1" x14ac:dyDescent="0.25">
      <c r="A18" s="7" t="s">
        <v>102</v>
      </c>
      <c r="B18" s="7">
        <v>94</v>
      </c>
      <c r="C18" s="7">
        <v>845750</v>
      </c>
      <c r="D18" s="7">
        <v>898931</v>
      </c>
      <c r="E18" s="17">
        <v>0.115</v>
      </c>
      <c r="F18" s="18">
        <f t="shared" si="0"/>
        <v>2.4367482372459558E-3</v>
      </c>
    </row>
  </sheetData>
  <mergeCells count="1">
    <mergeCell ref="A1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zoomScaleNormal="100" workbookViewId="0">
      <selection activeCell="G18" sqref="G18"/>
    </sheetView>
  </sheetViews>
  <sheetFormatPr defaultColWidth="8.7109375" defaultRowHeight="15" x14ac:dyDescent="0.25"/>
  <cols>
    <col min="1" max="1" width="14" customWidth="1"/>
    <col min="2" max="2" width="18" customWidth="1"/>
    <col min="3" max="3" width="22" customWidth="1"/>
    <col min="4" max="5" width="18" customWidth="1"/>
    <col min="6" max="6" width="14" customWidth="1"/>
  </cols>
  <sheetData>
    <row r="1" spans="1:6" ht="39.75" customHeight="1" x14ac:dyDescent="0.25">
      <c r="A1" s="5" t="s">
        <v>103</v>
      </c>
      <c r="B1" s="5"/>
      <c r="C1" s="5"/>
      <c r="D1" s="5"/>
      <c r="E1" s="5"/>
      <c r="F1" s="5"/>
    </row>
    <row r="2" spans="1:6" ht="15" customHeight="1" x14ac:dyDescent="0.25">
      <c r="A2" s="25" t="s">
        <v>104</v>
      </c>
      <c r="B2" s="25"/>
      <c r="C2" s="25"/>
      <c r="D2" s="25"/>
      <c r="E2" s="25"/>
      <c r="F2" s="25"/>
    </row>
    <row r="3" spans="1:6" ht="15" customHeight="1" x14ac:dyDescent="0.25">
      <c r="A3" s="27"/>
      <c r="B3" s="27"/>
      <c r="C3" s="27"/>
      <c r="D3" s="27"/>
      <c r="E3" s="27"/>
      <c r="F3" s="27"/>
    </row>
    <row r="4" spans="1:6" ht="15" customHeight="1" x14ac:dyDescent="0.25">
      <c r="A4" s="26"/>
      <c r="B4" s="26"/>
      <c r="C4" s="26"/>
      <c r="D4" s="26"/>
      <c r="E4" s="26"/>
      <c r="F4" s="26"/>
    </row>
    <row r="5" spans="1:6" ht="30" customHeight="1" x14ac:dyDescent="0.25">
      <c r="A5" s="6" t="s">
        <v>105</v>
      </c>
      <c r="B5" s="6" t="s">
        <v>28</v>
      </c>
      <c r="C5" s="6" t="s">
        <v>56</v>
      </c>
      <c r="D5" s="6" t="s">
        <v>88</v>
      </c>
      <c r="E5" s="6" t="s">
        <v>106</v>
      </c>
      <c r="F5" s="6" t="s">
        <v>107</v>
      </c>
    </row>
    <row r="6" spans="1:6" ht="21.75" customHeight="1" x14ac:dyDescent="0.25">
      <c r="A6" s="8" t="s">
        <v>108</v>
      </c>
      <c r="B6" s="8">
        <v>9689</v>
      </c>
      <c r="C6" s="8">
        <v>84252225</v>
      </c>
      <c r="D6" s="15">
        <v>7.3499999999999996E-2</v>
      </c>
      <c r="E6" s="15">
        <v>0.12039999999999999</v>
      </c>
      <c r="F6" s="16">
        <f t="shared" ref="F6:F12" si="0">B6/38576</f>
        <v>0.25116652841144754</v>
      </c>
    </row>
    <row r="7" spans="1:6" ht="21.75" customHeight="1" x14ac:dyDescent="0.25">
      <c r="A7" s="7" t="s">
        <v>109</v>
      </c>
      <c r="B7" s="7">
        <v>11674</v>
      </c>
      <c r="C7" s="7">
        <v>130703975</v>
      </c>
      <c r="D7" s="17">
        <v>0.1103</v>
      </c>
      <c r="E7" s="17">
        <v>0.1343</v>
      </c>
      <c r="F7" s="18">
        <f t="shared" si="0"/>
        <v>0.30262339278307754</v>
      </c>
    </row>
    <row r="8" spans="1:6" ht="21.75" customHeight="1" x14ac:dyDescent="0.25">
      <c r="A8" s="8" t="s">
        <v>110</v>
      </c>
      <c r="B8" s="8">
        <v>7904</v>
      </c>
      <c r="C8" s="8">
        <v>87456450</v>
      </c>
      <c r="D8" s="15">
        <v>0.13550000000000001</v>
      </c>
      <c r="E8" s="15">
        <v>0.13919999999999999</v>
      </c>
      <c r="F8" s="16">
        <f t="shared" si="0"/>
        <v>0.2048942347573621</v>
      </c>
    </row>
    <row r="9" spans="1:6" ht="21.75" customHeight="1" x14ac:dyDescent="0.25">
      <c r="A9" s="7" t="s">
        <v>111</v>
      </c>
      <c r="B9" s="7">
        <v>5182</v>
      </c>
      <c r="C9" s="7">
        <v>63920800</v>
      </c>
      <c r="D9" s="17">
        <v>0.15709999999999999</v>
      </c>
      <c r="E9" s="17">
        <v>0.13980000000000001</v>
      </c>
      <c r="F9" s="18">
        <f t="shared" si="0"/>
        <v>0.13433222729158026</v>
      </c>
    </row>
    <row r="10" spans="1:6" ht="21.75" customHeight="1" x14ac:dyDescent="0.25">
      <c r="A10" s="8" t="s">
        <v>112</v>
      </c>
      <c r="B10" s="8">
        <v>2786</v>
      </c>
      <c r="C10" s="8">
        <v>44165100</v>
      </c>
      <c r="D10" s="15">
        <v>0.17710000000000001</v>
      </c>
      <c r="E10" s="15">
        <v>0.14099999999999999</v>
      </c>
      <c r="F10" s="16">
        <f t="shared" si="0"/>
        <v>7.2221070095396106E-2</v>
      </c>
    </row>
    <row r="11" spans="1:6" ht="21.75" customHeight="1" x14ac:dyDescent="0.25">
      <c r="A11" s="7" t="s">
        <v>113</v>
      </c>
      <c r="B11" s="7">
        <v>1028</v>
      </c>
      <c r="C11" s="7">
        <v>18910450</v>
      </c>
      <c r="D11" s="17">
        <v>0.19739999999999999</v>
      </c>
      <c r="E11" s="17">
        <v>0.14169999999999999</v>
      </c>
      <c r="F11" s="18">
        <f t="shared" si="0"/>
        <v>2.6648693488179179E-2</v>
      </c>
    </row>
    <row r="12" spans="1:6" ht="21.75" customHeight="1" x14ac:dyDescent="0.25">
      <c r="A12" s="8" t="s">
        <v>114</v>
      </c>
      <c r="B12" s="8">
        <v>313</v>
      </c>
      <c r="C12" s="8">
        <v>6348075</v>
      </c>
      <c r="D12" s="15">
        <v>0.214</v>
      </c>
      <c r="E12" s="15">
        <v>0.1406</v>
      </c>
      <c r="F12" s="16">
        <f t="shared" si="0"/>
        <v>8.1138531729572794E-3</v>
      </c>
    </row>
    <row r="15" spans="1:6" ht="15" customHeight="1" x14ac:dyDescent="0.25">
      <c r="A15" s="3" t="s">
        <v>115</v>
      </c>
      <c r="B15" s="3"/>
      <c r="C15" s="3"/>
      <c r="D15" s="3"/>
      <c r="E15" s="3"/>
      <c r="F15" s="3"/>
    </row>
    <row r="16" spans="1:6" ht="30" customHeight="1" x14ac:dyDescent="0.25">
      <c r="A16" s="6" t="s">
        <v>116</v>
      </c>
      <c r="B16" s="6" t="s">
        <v>28</v>
      </c>
      <c r="C16" s="6" t="s">
        <v>56</v>
      </c>
      <c r="D16" s="6" t="s">
        <v>88</v>
      </c>
      <c r="E16" s="6" t="s">
        <v>107</v>
      </c>
    </row>
    <row r="17" spans="1:5" ht="21.75" customHeight="1" x14ac:dyDescent="0.25">
      <c r="A17" s="8" t="s">
        <v>117</v>
      </c>
      <c r="B17" s="8">
        <v>28237</v>
      </c>
      <c r="C17" s="8">
        <v>273041225</v>
      </c>
      <c r="D17" s="15">
        <v>0.1103</v>
      </c>
      <c r="E17" s="16">
        <f>B17/38576</f>
        <v>0.73198361675653256</v>
      </c>
    </row>
    <row r="18" spans="1:5" ht="21.75" customHeight="1" x14ac:dyDescent="0.25">
      <c r="A18" s="7" t="s">
        <v>118</v>
      </c>
      <c r="B18" s="7">
        <v>10339</v>
      </c>
      <c r="C18" s="7">
        <v>162715850</v>
      </c>
      <c r="D18" s="17">
        <v>0.14829999999999999</v>
      </c>
      <c r="E18" s="18">
        <f>B18/38576</f>
        <v>0.26801638324346744</v>
      </c>
    </row>
  </sheetData>
  <mergeCells count="3">
    <mergeCell ref="A1:F1"/>
    <mergeCell ref="A15:F15"/>
    <mergeCell ref="A2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showGridLines="0" zoomScaleNormal="100" workbookViewId="0">
      <selection activeCell="G5" sqref="G5"/>
    </sheetView>
  </sheetViews>
  <sheetFormatPr defaultColWidth="8.7109375" defaultRowHeight="15" x14ac:dyDescent="0.25"/>
  <cols>
    <col min="1" max="1" width="22" customWidth="1"/>
    <col min="2" max="2" width="18" customWidth="1"/>
    <col min="3" max="3" width="22" customWidth="1"/>
    <col min="4" max="4" width="18" customWidth="1"/>
  </cols>
  <sheetData>
    <row r="1" spans="1:4" ht="39.75" customHeight="1" x14ac:dyDescent="0.25">
      <c r="A1" s="5" t="s">
        <v>119</v>
      </c>
      <c r="B1" s="5"/>
      <c r="C1" s="5"/>
      <c r="D1" s="5"/>
    </row>
    <row r="2" spans="1:4" ht="15" customHeight="1" x14ac:dyDescent="0.25">
      <c r="A2" s="25" t="s">
        <v>120</v>
      </c>
      <c r="B2" s="25"/>
      <c r="C2" s="25"/>
      <c r="D2" s="25"/>
    </row>
    <row r="3" spans="1:4" x14ac:dyDescent="0.25">
      <c r="A3" s="27"/>
      <c r="B3" s="27"/>
      <c r="C3" s="27"/>
      <c r="D3" s="27"/>
    </row>
    <row r="4" spans="1:4" ht="15" customHeight="1" x14ac:dyDescent="0.25">
      <c r="A4" s="26"/>
      <c r="B4" s="26"/>
      <c r="C4" s="26"/>
      <c r="D4" s="26"/>
    </row>
    <row r="5" spans="1:4" ht="30" customHeight="1" x14ac:dyDescent="0.25">
      <c r="A5" s="6" t="s">
        <v>121</v>
      </c>
      <c r="B5" s="6" t="s">
        <v>28</v>
      </c>
      <c r="C5" s="6" t="s">
        <v>56</v>
      </c>
      <c r="D5" s="6" t="s">
        <v>107</v>
      </c>
    </row>
    <row r="6" spans="1:4" ht="21.75" customHeight="1" x14ac:dyDescent="0.25">
      <c r="A6" s="8" t="s">
        <v>122</v>
      </c>
      <c r="B6" s="8">
        <v>8870</v>
      </c>
      <c r="C6" s="8">
        <v>116115950</v>
      </c>
      <c r="D6" s="16">
        <f t="shared" ref="D6:D16" si="0">B6/38576</f>
        <v>0.22993571132310245</v>
      </c>
    </row>
    <row r="7" spans="1:4" ht="21.75" customHeight="1" x14ac:dyDescent="0.25">
      <c r="A7" s="7" t="s">
        <v>123</v>
      </c>
      <c r="B7" s="7">
        <v>4575</v>
      </c>
      <c r="C7" s="7">
        <v>44210625</v>
      </c>
      <c r="D7" s="18">
        <f t="shared" si="0"/>
        <v>0.11859705516383244</v>
      </c>
    </row>
    <row r="8" spans="1:4" ht="21.75" customHeight="1" x14ac:dyDescent="0.25">
      <c r="A8" s="8" t="s">
        <v>124</v>
      </c>
      <c r="B8" s="8">
        <v>4382</v>
      </c>
      <c r="C8" s="8">
        <v>44967975</v>
      </c>
      <c r="D8" s="16">
        <f t="shared" si="0"/>
        <v>0.1135939444214019</v>
      </c>
    </row>
    <row r="9" spans="1:4" ht="21.75" customHeight="1" x14ac:dyDescent="0.25">
      <c r="A9" s="7" t="s">
        <v>125</v>
      </c>
      <c r="B9" s="7">
        <v>4088</v>
      </c>
      <c r="C9" s="7">
        <v>43937850</v>
      </c>
      <c r="D9" s="18">
        <f t="shared" si="0"/>
        <v>0.10597262546661136</v>
      </c>
    </row>
    <row r="10" spans="1:4" ht="21.75" customHeight="1" x14ac:dyDescent="0.25">
      <c r="A10" s="8" t="s">
        <v>126</v>
      </c>
      <c r="B10" s="8">
        <v>3428</v>
      </c>
      <c r="C10" s="8">
        <v>37600375</v>
      </c>
      <c r="D10" s="16">
        <f t="shared" si="0"/>
        <v>8.8863542098714221E-2</v>
      </c>
    </row>
    <row r="11" spans="1:4" ht="21.75" customHeight="1" x14ac:dyDescent="0.25">
      <c r="A11" s="7" t="s">
        <v>127</v>
      </c>
      <c r="B11" s="7">
        <v>3273</v>
      </c>
      <c r="C11" s="7">
        <v>36973625</v>
      </c>
      <c r="D11" s="18">
        <f t="shared" si="0"/>
        <v>8.4845499792617171E-2</v>
      </c>
    </row>
    <row r="12" spans="1:4" ht="21.75" customHeight="1" x14ac:dyDescent="0.25">
      <c r="A12" s="8" t="s">
        <v>128</v>
      </c>
      <c r="B12" s="8">
        <v>3229</v>
      </c>
      <c r="C12" s="8">
        <v>32883125</v>
      </c>
      <c r="D12" s="16">
        <f t="shared" si="0"/>
        <v>8.3704894234757368E-2</v>
      </c>
    </row>
    <row r="13" spans="1:4" ht="21.75" customHeight="1" x14ac:dyDescent="0.25">
      <c r="A13" s="7" t="s">
        <v>129</v>
      </c>
      <c r="B13" s="7">
        <v>2228</v>
      </c>
      <c r="C13" s="7">
        <v>25612650</v>
      </c>
      <c r="D13" s="18">
        <f t="shared" si="0"/>
        <v>5.77561177934467E-2</v>
      </c>
    </row>
    <row r="14" spans="1:4" ht="21.75" customHeight="1" x14ac:dyDescent="0.25">
      <c r="A14" s="8" t="s">
        <v>130</v>
      </c>
      <c r="B14" s="8">
        <v>1772</v>
      </c>
      <c r="C14" s="8">
        <v>20811725</v>
      </c>
      <c r="D14" s="16">
        <f t="shared" si="0"/>
        <v>4.5935296557445042E-2</v>
      </c>
    </row>
    <row r="15" spans="1:4" ht="21.75" customHeight="1" x14ac:dyDescent="0.25">
      <c r="A15" s="7" t="s">
        <v>131</v>
      </c>
      <c r="B15" s="7">
        <v>1476</v>
      </c>
      <c r="C15" s="7">
        <v>17558950</v>
      </c>
      <c r="D15" s="18">
        <f t="shared" si="0"/>
        <v>3.8262131895479057E-2</v>
      </c>
    </row>
    <row r="16" spans="1:4" ht="21.75" customHeight="1" x14ac:dyDescent="0.25">
      <c r="A16" s="8" t="s">
        <v>132</v>
      </c>
      <c r="B16" s="8">
        <v>1255</v>
      </c>
      <c r="C16" s="8">
        <v>15084225</v>
      </c>
      <c r="D16" s="16">
        <f t="shared" si="0"/>
        <v>3.2533181252592289E-2</v>
      </c>
    </row>
    <row r="19" spans="1:4" ht="15" customHeight="1" x14ac:dyDescent="0.25">
      <c r="A19" s="3" t="s">
        <v>133</v>
      </c>
      <c r="B19" s="3"/>
      <c r="C19" s="3"/>
      <c r="D19" s="3"/>
    </row>
    <row r="20" spans="1:4" ht="30" customHeight="1" x14ac:dyDescent="0.25">
      <c r="A20" s="6" t="s">
        <v>134</v>
      </c>
      <c r="B20" s="6" t="s">
        <v>28</v>
      </c>
      <c r="C20" s="6" t="s">
        <v>56</v>
      </c>
      <c r="D20" s="6" t="s">
        <v>107</v>
      </c>
    </row>
    <row r="21" spans="1:4" ht="21.75" customHeight="1" x14ac:dyDescent="0.25">
      <c r="A21" s="8" t="s">
        <v>135</v>
      </c>
      <c r="B21" s="8">
        <v>18439</v>
      </c>
      <c r="C21" s="8">
        <v>185768475</v>
      </c>
      <c r="D21" s="16">
        <f>B21/38576</f>
        <v>0.47799149730402324</v>
      </c>
    </row>
    <row r="22" spans="1:4" ht="21.75" customHeight="1" x14ac:dyDescent="0.25">
      <c r="A22" s="7" t="s">
        <v>136</v>
      </c>
      <c r="B22" s="7">
        <v>17198</v>
      </c>
      <c r="C22" s="7">
        <v>219329150</v>
      </c>
      <c r="D22" s="18">
        <f>B22/38576</f>
        <v>0.44582123600165907</v>
      </c>
    </row>
    <row r="23" spans="1:4" ht="21.75" customHeight="1" x14ac:dyDescent="0.25">
      <c r="A23" s="8" t="s">
        <v>137</v>
      </c>
      <c r="B23" s="8">
        <v>2838</v>
      </c>
      <c r="C23" s="8">
        <v>29597675</v>
      </c>
      <c r="D23" s="16">
        <f>B23/38576</f>
        <v>7.3569058481957689E-2</v>
      </c>
    </row>
    <row r="24" spans="1:4" ht="21.75" customHeight="1" x14ac:dyDescent="0.25">
      <c r="A24" s="7" t="s">
        <v>91</v>
      </c>
      <c r="B24" s="7">
        <v>98</v>
      </c>
      <c r="C24" s="7">
        <v>1044975</v>
      </c>
      <c r="D24" s="18">
        <f>B24/38576</f>
        <v>2.5404396515968479E-3</v>
      </c>
    </row>
    <row r="25" spans="1:4" ht="21.75" customHeight="1" x14ac:dyDescent="0.25">
      <c r="A25" s="8" t="s">
        <v>138</v>
      </c>
      <c r="B25" s="8">
        <v>3</v>
      </c>
      <c r="C25" s="8">
        <v>16800</v>
      </c>
      <c r="D25" s="16">
        <f>B25/38576</f>
        <v>7.7768560763168815E-5</v>
      </c>
    </row>
  </sheetData>
  <mergeCells count="3">
    <mergeCell ref="A1:D1"/>
    <mergeCell ref="A19:D19"/>
    <mergeCell ref="A2:D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KPIs</vt:lpstr>
      <vt:lpstr>Monthly Trends</vt:lpstr>
      <vt:lpstr>Regional Analysis</vt:lpstr>
      <vt:lpstr>Loan Purpose</vt:lpstr>
      <vt:lpstr>Grade &amp; Term Analysis</vt:lpstr>
      <vt:lpstr>Borrower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Anushka Singh</cp:lastModifiedBy>
  <cp:revision>0</cp:revision>
  <dcterms:created xsi:type="dcterms:W3CDTF">2026-02-26T05:37:35Z</dcterms:created>
  <dcterms:modified xsi:type="dcterms:W3CDTF">2026-02-26T10:01:32Z</dcterms:modified>
  <dc:language>en-US</dc:language>
</cp:coreProperties>
</file>